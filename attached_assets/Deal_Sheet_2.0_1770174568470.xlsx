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37">
      <text>
        <t xml:space="preserve">Use this - 
https://www.experian.co.uk/blogs/latest-thinking/small-business/business-loan-calculator/</t>
      </text>
    </comment>
  </commentList>
</comments>
</file>

<file path=xl/sharedStrings.xml><?xml version="1.0" encoding="utf-8"?>
<sst xmlns="http://schemas.openxmlformats.org/spreadsheetml/2006/main" count="43" uniqueCount="43">
  <si>
    <t>DO NOT EDIT - EXAMPLE</t>
  </si>
  <si>
    <t xml:space="preserve">*Instructions - Click &gt; File &gt; Make a copy </t>
  </si>
  <si>
    <t>P &amp; L</t>
  </si>
  <si>
    <t>Turnover</t>
  </si>
  <si>
    <t>Cost of Sales</t>
  </si>
  <si>
    <t>Gross Profit</t>
  </si>
  <si>
    <t>Gross Profit Margin</t>
  </si>
  <si>
    <t>Operating Costs</t>
  </si>
  <si>
    <t>Other Opertaing Income</t>
  </si>
  <si>
    <t>Dividends</t>
  </si>
  <si>
    <t>EBIT</t>
  </si>
  <si>
    <t>D&amp;A</t>
  </si>
  <si>
    <t>EBITDA</t>
  </si>
  <si>
    <t>Adjustments</t>
  </si>
  <si>
    <t>Directors Remuneration</t>
  </si>
  <si>
    <t>Directors Pension</t>
  </si>
  <si>
    <t xml:space="preserve">Covid Grant </t>
  </si>
  <si>
    <t>Other</t>
  </si>
  <si>
    <t>Adjusted EBITDA</t>
  </si>
  <si>
    <t xml:space="preserve">Avg EBITDA (3 Yrs) </t>
  </si>
  <si>
    <t xml:space="preserve">(+) Property </t>
  </si>
  <si>
    <t xml:space="preserve">(+) Cash </t>
  </si>
  <si>
    <t>Multiple</t>
  </si>
  <si>
    <t>(+) Other</t>
  </si>
  <si>
    <t xml:space="preserve">Total Purchase Price </t>
  </si>
  <si>
    <t>Enterprise Value</t>
  </si>
  <si>
    <t>£</t>
  </si>
  <si>
    <t>EBIT p/y</t>
  </si>
  <si>
    <t>Avg 3 years</t>
  </si>
  <si>
    <t>EBIT p/m</t>
  </si>
  <si>
    <t>Time (Months)</t>
  </si>
  <si>
    <t>Interest Rate</t>
  </si>
  <si>
    <t>Monthly Payments</t>
  </si>
  <si>
    <t>PP</t>
  </si>
  <si>
    <t>Closing Payment</t>
  </si>
  <si>
    <t>Seller Finance</t>
  </si>
  <si>
    <t>Total Debt</t>
  </si>
  <si>
    <t xml:space="preserve">Equity </t>
  </si>
  <si>
    <t>Total</t>
  </si>
  <si>
    <t>DSCR</t>
  </si>
  <si>
    <t>Min 1.5</t>
  </si>
  <si>
    <r>
      <rPr>
        <rFont val="Proxima Nova"/>
        <b/>
        <color rgb="FFFFFFFF"/>
        <sz val="14.0"/>
      </rPr>
      <t xml:space="preserve">Net Income </t>
    </r>
    <r>
      <rPr>
        <rFont val="Proxima Nova"/>
        <b val="0"/>
        <i/>
        <color rgb="FFFFFFFF"/>
        <sz val="10.0"/>
      </rPr>
      <t>(Monthly)</t>
    </r>
  </si>
  <si>
    <r>
      <rPr>
        <rFont val="Proxima Nova"/>
        <b/>
        <color rgb="FFFFFFFF"/>
        <sz val="14.0"/>
      </rPr>
      <t xml:space="preserve">Net Income </t>
    </r>
    <r>
      <rPr>
        <rFont val="Proxima Nova"/>
        <b val="0"/>
        <i/>
        <color rgb="FFFFFFFF"/>
        <sz val="10.0"/>
      </rPr>
      <t>(Annual)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</si>
</sst>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£&quot;#,##0.00_);[Red]\(&quot;£&quot;#,##0.00\)"/>
    <numFmt numFmtId="165" formatCode="[$£]#,##0.00"/>
  </numFmts>
  <fonts count="14">
    <font>
      <sz val="10.0"/>
      <color rgb="FF000000"/>
      <name val="Arial"/>
      <scheme val="minor"/>
    </font>
    <font>
      <b/>
      <sz val="12.0"/>
      <color rgb="FF000000"/>
      <name val="Proxima Nova"/>
    </font>
    <font>
      <b/>
      <sz val="11.0"/>
      <color theme="1"/>
      <name val="Proxima Nova"/>
    </font>
    <font>
      <b/>
      <sz val="7.0"/>
      <color rgb="FFFFFFFF"/>
      <name val="Proxima Nova"/>
    </font>
    <font>
      <sz val="11.0"/>
      <color theme="1"/>
      <name val="Proxima Nova"/>
    </font>
    <font>
      <b/>
      <sz val="14.0"/>
      <color rgb="FFFFFFFF"/>
      <name val="Proxima Nova"/>
    </font>
    <font>
      <sz val="13.0"/>
      <color theme="1"/>
      <name val="Proxima Nova"/>
    </font>
    <font>
      <i/>
      <sz val="13.0"/>
      <color theme="1"/>
      <name val="Proxima Nova"/>
    </font>
    <font>
      <b/>
      <sz val="13.0"/>
      <color theme="1"/>
      <name val="Proxima Nova"/>
    </font>
    <font>
      <b/>
      <i/>
      <sz val="13.0"/>
      <color theme="1"/>
      <name val="Proxima Nova"/>
    </font>
    <font>
      <sz val="14.0"/>
      <color theme="1"/>
      <name val="Proxima Nova"/>
    </font>
    <font>
      <sz val="14.0"/>
      <color rgb="FF000000"/>
      <name val="Proxima Nova"/>
    </font>
    <font>
      <i/>
      <sz val="11.0"/>
      <color theme="1"/>
      <name val="Proxima Nova"/>
    </font>
    <font>
      <b/>
      <sz val="14.0"/>
      <color rgb="FF000000"/>
      <name val="Proxima Nova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6">
    <border/>
    <border>
      <bottom style="medium">
        <color rgb="FF000000"/>
      </bottom>
    </border>
    <border>
      <bottom style="thick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3" fillId="2" fontId="5" numFmtId="0" xfId="0" applyAlignment="1" applyBorder="1" applyFill="1" applyFont="1">
      <alignment vertical="bottom"/>
    </xf>
    <xf borderId="0" fillId="2" fontId="5" numFmtId="0" xfId="0" applyAlignment="1" applyFont="1">
      <alignment horizontal="right" vertical="bottom"/>
    </xf>
    <xf borderId="4" fillId="2" fontId="5" numFmtId="0" xfId="0" applyAlignment="1" applyBorder="1" applyFont="1">
      <alignment horizontal="right" vertical="bottom"/>
    </xf>
    <xf borderId="3" fillId="0" fontId="6" numFmtId="0" xfId="0" applyAlignment="1" applyBorder="1" applyFont="1">
      <alignment vertical="bottom"/>
    </xf>
    <xf borderId="0" fillId="0" fontId="6" numFmtId="164" xfId="0" applyAlignment="1" applyFont="1" applyNumberFormat="1">
      <alignment horizontal="right" vertical="bottom"/>
    </xf>
    <xf borderId="4" fillId="0" fontId="6" numFmtId="164" xfId="0" applyAlignment="1" applyBorder="1" applyFont="1" applyNumberFormat="1">
      <alignment horizontal="right" vertical="bottom"/>
    </xf>
    <xf borderId="0" fillId="0" fontId="7" numFmtId="164" xfId="0" applyAlignment="1" applyFont="1" applyNumberFormat="1">
      <alignment horizontal="right" readingOrder="0" vertical="bottom"/>
    </xf>
    <xf borderId="4" fillId="0" fontId="6" numFmtId="164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3" fontId="6" numFmtId="10" xfId="0" applyAlignment="1" applyFill="1" applyFont="1" applyNumberFormat="1">
      <alignment horizontal="right" vertical="bottom"/>
    </xf>
    <xf borderId="4" fillId="3" fontId="6" numFmtId="10" xfId="0" applyAlignment="1" applyBorder="1" applyFont="1" applyNumberFormat="1">
      <alignment horizontal="right" vertical="bottom"/>
    </xf>
    <xf borderId="0" fillId="0" fontId="6" numFmtId="164" xfId="0" applyAlignment="1" applyFont="1" applyNumberFormat="1">
      <alignment horizontal="right" readingOrder="0" vertical="bottom"/>
    </xf>
    <xf borderId="3" fillId="0" fontId="8" numFmtId="0" xfId="0" applyAlignment="1" applyBorder="1" applyFont="1">
      <alignment vertical="bottom"/>
    </xf>
    <xf borderId="0" fillId="3" fontId="6" numFmtId="164" xfId="0" applyAlignment="1" applyFont="1" applyNumberFormat="1">
      <alignment horizontal="right" vertical="bottom"/>
    </xf>
    <xf borderId="4" fillId="3" fontId="6" numFmtId="164" xfId="0" applyAlignment="1" applyBorder="1" applyFont="1" applyNumberFormat="1">
      <alignment horizontal="right" vertical="bottom"/>
    </xf>
    <xf borderId="0" fillId="0" fontId="6" numFmtId="0" xfId="0" applyAlignment="1" applyFont="1">
      <alignment vertical="bottom"/>
    </xf>
    <xf borderId="4" fillId="0" fontId="6" numFmtId="0" xfId="0" applyAlignment="1" applyBorder="1" applyFont="1">
      <alignment vertical="bottom"/>
    </xf>
    <xf borderId="3" fillId="0" fontId="9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readingOrder="0" vertical="bottom"/>
    </xf>
    <xf borderId="1" fillId="0" fontId="6" numFmtId="165" xfId="0" applyAlignment="1" applyBorder="1" applyFont="1" applyNumberFormat="1">
      <alignment readingOrder="0" vertical="bottom"/>
    </xf>
    <xf borderId="6" fillId="0" fontId="6" numFmtId="165" xfId="0" applyAlignment="1" applyBorder="1" applyFont="1" applyNumberFormat="1">
      <alignment readingOrder="0" vertical="bottom"/>
    </xf>
    <xf borderId="5" fillId="0" fontId="8" numFmtId="0" xfId="0" applyAlignment="1" applyBorder="1" applyFont="1">
      <alignment vertical="bottom"/>
    </xf>
    <xf borderId="1" fillId="3" fontId="8" numFmtId="164" xfId="0" applyAlignment="1" applyBorder="1" applyFont="1" applyNumberFormat="1">
      <alignment horizontal="right" vertical="bottom"/>
    </xf>
    <xf borderId="6" fillId="3" fontId="8" numFmtId="164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vertical="bottom"/>
    </xf>
    <xf borderId="8" fillId="2" fontId="5" numFmtId="0" xfId="0" applyAlignment="1" applyBorder="1" applyFont="1">
      <alignment vertical="bottom"/>
    </xf>
    <xf borderId="9" fillId="0" fontId="8" numFmtId="164" xfId="0" applyAlignment="1" applyBorder="1" applyFont="1" applyNumberFormat="1">
      <alignment horizontal="right" vertical="bottom"/>
    </xf>
    <xf borderId="10" fillId="3" fontId="10" numFmtId="0" xfId="0" applyAlignment="1" applyBorder="1" applyFont="1">
      <alignment readingOrder="0" vertical="bottom"/>
    </xf>
    <xf borderId="10" fillId="0" fontId="6" numFmtId="165" xfId="0" applyAlignment="1" applyBorder="1" applyFont="1" applyNumberFormat="1">
      <alignment readingOrder="0" vertical="bottom"/>
    </xf>
    <xf borderId="7" fillId="4" fontId="4" numFmtId="0" xfId="0" applyAlignment="1" applyBorder="1" applyFill="1" applyFont="1">
      <alignment vertical="bottom"/>
    </xf>
    <xf borderId="7" fillId="0" fontId="6" numFmtId="0" xfId="0" applyAlignment="1" applyBorder="1" applyFont="1">
      <alignment vertical="bottom"/>
    </xf>
    <xf borderId="9" fillId="0" fontId="8" numFmtId="0" xfId="0" applyAlignment="1" applyBorder="1" applyFont="1">
      <alignment horizontal="right" vertical="bottom"/>
    </xf>
    <xf borderId="10" fillId="3" fontId="11" numFmtId="0" xfId="0" applyAlignment="1" applyBorder="1" applyFont="1">
      <alignment readingOrder="0" vertical="bottom"/>
    </xf>
    <xf borderId="10" fillId="2" fontId="5" numFmtId="0" xfId="0" applyAlignment="1" applyBorder="1" applyFont="1">
      <alignment vertical="bottom"/>
    </xf>
    <xf borderId="11" fillId="0" fontId="8" numFmtId="165" xfId="0" applyAlignment="1" applyBorder="1" applyFont="1" applyNumberFormat="1">
      <alignment horizontal="right" vertical="bottom"/>
    </xf>
    <xf borderId="0" fillId="5" fontId="4" numFmtId="0" xfId="0" applyAlignment="1" applyFill="1" applyFont="1">
      <alignment vertical="bottom"/>
    </xf>
    <xf borderId="10" fillId="2" fontId="4" numFmtId="0" xfId="0" applyAlignment="1" applyBorder="1" applyFont="1">
      <alignment vertical="bottom"/>
    </xf>
    <xf borderId="11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readingOrder="0" vertical="bottom"/>
    </xf>
    <xf borderId="4" fillId="0" fontId="10" numFmtId="165" xfId="0" applyAlignment="1" applyBorder="1" applyFont="1" applyNumberFormat="1">
      <alignment horizontal="right" readingOrder="0" vertical="bottom"/>
    </xf>
    <xf borderId="0" fillId="0" fontId="12" numFmtId="0" xfId="0" applyAlignment="1" applyFont="1">
      <alignment readingOrder="0" vertical="bottom"/>
    </xf>
    <xf borderId="5" fillId="2" fontId="5" numFmtId="0" xfId="0" applyAlignment="1" applyBorder="1" applyFont="1">
      <alignment readingOrder="0" vertical="bottom"/>
    </xf>
    <xf borderId="6" fillId="0" fontId="10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12" fillId="2" fontId="5" numFmtId="0" xfId="0" applyAlignment="1" applyBorder="1" applyFont="1">
      <alignment vertical="bottom"/>
    </xf>
    <xf borderId="4" fillId="2" fontId="5" numFmtId="0" xfId="0" applyAlignment="1" applyBorder="1" applyFont="1">
      <alignment vertical="bottom"/>
    </xf>
    <xf borderId="3" fillId="3" fontId="13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12" fillId="3" fontId="6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0" fillId="0" fontId="6" numFmtId="0" xfId="0" applyAlignment="1" applyFont="1">
      <alignment horizontal="right" readingOrder="0" vertical="bottom"/>
    </xf>
    <xf borderId="12" fillId="0" fontId="6" numFmtId="9" xfId="0" applyAlignment="1" applyBorder="1" applyFont="1" applyNumberFormat="1">
      <alignment horizontal="right" vertical="bottom"/>
    </xf>
    <xf borderId="4" fillId="0" fontId="6" numFmtId="164" xfId="0" applyAlignment="1" applyBorder="1" applyFont="1" applyNumberFormat="1">
      <alignment vertical="bottom"/>
    </xf>
    <xf borderId="3" fillId="3" fontId="13" numFmtId="0" xfId="0" applyAlignment="1" applyBorder="1" applyFont="1">
      <alignment readingOrder="0" vertical="bottom"/>
    </xf>
    <xf borderId="0" fillId="0" fontId="6" numFmtId="0" xfId="0" applyAlignment="1" applyFont="1">
      <alignment horizontal="right" vertical="bottom"/>
    </xf>
    <xf borderId="12" fillId="0" fontId="6" numFmtId="9" xfId="0" applyAlignment="1" applyBorder="1" applyFont="1" applyNumberFormat="1">
      <alignment horizontal="right" readingOrder="0" vertical="bottom"/>
    </xf>
    <xf borderId="4" fillId="0" fontId="6" numFmtId="164" xfId="0" applyAlignment="1" applyBorder="1" applyFont="1" applyNumberFormat="1">
      <alignment readingOrder="0" vertical="bottom"/>
    </xf>
    <xf borderId="13" fillId="0" fontId="6" numFmtId="164" xfId="0" applyAlignment="1" applyBorder="1" applyFont="1" applyNumberFormat="1">
      <alignment readingOrder="0" vertical="bottom"/>
    </xf>
    <xf borderId="5" fillId="2" fontId="5" numFmtId="0" xfId="0" applyAlignment="1" applyBorder="1" applyFont="1">
      <alignment vertical="bottom"/>
    </xf>
    <xf borderId="14" fillId="3" fontId="4" numFmtId="0" xfId="0" applyAlignment="1" applyBorder="1" applyFont="1">
      <alignment vertical="bottom"/>
    </xf>
    <xf borderId="15" fillId="3" fontId="4" numFmtId="0" xfId="0" applyAlignment="1" applyBorder="1" applyFont="1">
      <alignment vertical="bottom"/>
    </xf>
    <xf borderId="6" fillId="0" fontId="6" numFmtId="164" xfId="0" applyAlignment="1" applyBorder="1" applyFont="1" applyNumberFormat="1">
      <alignment readingOrder="0" vertical="bottom"/>
    </xf>
    <xf borderId="12" fillId="0" fontId="4" numFmtId="0" xfId="0" applyAlignment="1" applyBorder="1" applyFont="1">
      <alignment vertical="bottom"/>
    </xf>
    <xf borderId="9" fillId="2" fontId="5" numFmtId="0" xfId="0" applyAlignment="1" applyBorder="1" applyFont="1">
      <alignment vertical="bottom"/>
    </xf>
    <xf borderId="9" fillId="0" fontId="6" numFmtId="49" xfId="0" applyAlignment="1" applyBorder="1" applyFont="1" applyNumberFormat="1">
      <alignment horizontal="right" vertical="bottom"/>
    </xf>
    <xf borderId="9" fillId="2" fontId="5" numFmtId="0" xfId="0" applyAlignment="1" applyBorder="1" applyFont="1">
      <alignment readingOrder="0" vertical="bottom"/>
    </xf>
    <xf borderId="9" fillId="0" fontId="6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1228725</xdr:colOff>
      <xdr:row>6</xdr:row>
      <xdr:rowOff>104775</xdr:rowOff>
    </xdr:from>
    <xdr:ext cx="1362075" cy="1362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88"/>
    <col customWidth="1" min="2" max="2" width="16.75"/>
    <col customWidth="1" min="3" max="3" width="16.38"/>
    <col customWidth="1" min="4" max="4" width="23.13"/>
    <col customWidth="1" min="5" max="5" width="20.75"/>
    <col customWidth="1" min="6" max="6" width="16.25"/>
  </cols>
  <sheetData>
    <row r="1">
      <c r="A1" s="1" t="s">
        <v>0</v>
      </c>
      <c r="B1" s="2" t="s">
        <v>1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>
        <v>2019.0</v>
      </c>
      <c r="C2" s="6">
        <v>2020.0</v>
      </c>
      <c r="D2" s="6">
        <v>2021.0</v>
      </c>
      <c r="E2" s="6">
        <v>2022.0</v>
      </c>
      <c r="F2" s="7">
        <v>2023.0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3</v>
      </c>
      <c r="B3" s="9">
        <v>2340668.0</v>
      </c>
      <c r="C3" s="9">
        <v>2765559.0</v>
      </c>
      <c r="D3" s="9">
        <v>3898333.0</v>
      </c>
      <c r="E3" s="9">
        <v>4343222.0</v>
      </c>
      <c r="F3" s="10">
        <v>1540999.0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4</v>
      </c>
      <c r="B4" s="11">
        <v>-1548377.0</v>
      </c>
      <c r="C4" s="11">
        <v>-1874644.0</v>
      </c>
      <c r="D4" s="11">
        <v>-2838383.0</v>
      </c>
      <c r="E4" s="11">
        <v>-2908272.0</v>
      </c>
      <c r="F4" s="12">
        <v>-907827.0</v>
      </c>
      <c r="G4" s="4"/>
      <c r="H4" s="4"/>
      <c r="I4" s="1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5</v>
      </c>
      <c r="B5" s="9">
        <f t="shared" ref="B5:F5" si="1">SUM(B4+B3)</f>
        <v>792291</v>
      </c>
      <c r="C5" s="9">
        <f t="shared" si="1"/>
        <v>890915</v>
      </c>
      <c r="D5" s="9">
        <f t="shared" si="1"/>
        <v>1059950</v>
      </c>
      <c r="E5" s="9">
        <f t="shared" si="1"/>
        <v>1434950</v>
      </c>
      <c r="F5" s="10">
        <f t="shared" si="1"/>
        <v>633172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6</v>
      </c>
      <c r="B6" s="14">
        <f t="shared" ref="B6:F6" si="2">SUM(B5/B3)</f>
        <v>0.3384892689</v>
      </c>
      <c r="C6" s="14">
        <f t="shared" si="2"/>
        <v>0.3221464449</v>
      </c>
      <c r="D6" s="14">
        <f t="shared" si="2"/>
        <v>0.2718982704</v>
      </c>
      <c r="E6" s="14">
        <f t="shared" si="2"/>
        <v>0.3303883615</v>
      </c>
      <c r="F6" s="15">
        <f t="shared" si="2"/>
        <v>0.4108841083</v>
      </c>
      <c r="G6" s="4"/>
      <c r="H6" s="4"/>
      <c r="I6" s="1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7</v>
      </c>
      <c r="B7" s="16">
        <v>-239484.0</v>
      </c>
      <c r="C7" s="16">
        <v>-241828.0</v>
      </c>
      <c r="D7" s="16">
        <v>-254999.0</v>
      </c>
      <c r="E7" s="16">
        <v>-387444.0</v>
      </c>
      <c r="F7" s="12">
        <v>-238222.0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8</v>
      </c>
      <c r="B8" s="9">
        <v>0.0</v>
      </c>
      <c r="C8" s="9">
        <v>25000.0</v>
      </c>
      <c r="D8" s="9">
        <v>55000.0</v>
      </c>
      <c r="E8" s="9">
        <v>0.0</v>
      </c>
      <c r="F8" s="10">
        <v>0.0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9</v>
      </c>
      <c r="B9" s="9">
        <v>320000.0</v>
      </c>
      <c r="C9" s="9">
        <v>250000.0</v>
      </c>
      <c r="D9" s="9">
        <v>400000.0</v>
      </c>
      <c r="E9" s="9">
        <v>420000.0</v>
      </c>
      <c r="F9" s="10">
        <v>0.0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7" t="s">
        <v>10</v>
      </c>
      <c r="B10" s="18">
        <f t="shared" ref="B10:F10" si="3">SUM(B5,B7,B8)</f>
        <v>552807</v>
      </c>
      <c r="C10" s="18">
        <f t="shared" si="3"/>
        <v>674087</v>
      </c>
      <c r="D10" s="18">
        <f t="shared" si="3"/>
        <v>859951</v>
      </c>
      <c r="E10" s="18">
        <f t="shared" si="3"/>
        <v>1047506</v>
      </c>
      <c r="F10" s="19">
        <f t="shared" si="3"/>
        <v>394950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11</v>
      </c>
      <c r="B11" s="9">
        <v>23000.0</v>
      </c>
      <c r="C11" s="9">
        <v>23000.0</v>
      </c>
      <c r="D11" s="9">
        <v>29000.0</v>
      </c>
      <c r="E11" s="9">
        <v>34000.0</v>
      </c>
      <c r="F11" s="10">
        <v>0.0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7" t="s">
        <v>12</v>
      </c>
      <c r="B12" s="18">
        <f t="shared" ref="B12:F12" si="4">SUM(B10+B11)</f>
        <v>575807</v>
      </c>
      <c r="C12" s="18">
        <f t="shared" si="4"/>
        <v>697087</v>
      </c>
      <c r="D12" s="18">
        <f t="shared" si="4"/>
        <v>888951</v>
      </c>
      <c r="E12" s="18">
        <f t="shared" si="4"/>
        <v>1081506</v>
      </c>
      <c r="F12" s="19">
        <f t="shared" si="4"/>
        <v>394950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/>
      <c r="B13" s="20"/>
      <c r="C13" s="20"/>
      <c r="D13" s="20"/>
      <c r="E13" s="20"/>
      <c r="F13" s="2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2" t="s">
        <v>13</v>
      </c>
      <c r="B14" s="20"/>
      <c r="C14" s="20"/>
      <c r="D14" s="20"/>
      <c r="E14" s="20"/>
      <c r="F14" s="2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14</v>
      </c>
      <c r="B15" s="9">
        <v>100000.0</v>
      </c>
      <c r="C15" s="9">
        <v>100000.0</v>
      </c>
      <c r="D15" s="9">
        <v>150000.0</v>
      </c>
      <c r="E15" s="9">
        <v>150000.0</v>
      </c>
      <c r="F15" s="10">
        <v>65000.0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15</v>
      </c>
      <c r="B16" s="9">
        <v>40000.0</v>
      </c>
      <c r="C16" s="9">
        <v>40000.0</v>
      </c>
      <c r="D16" s="9">
        <v>40000.0</v>
      </c>
      <c r="E16" s="9">
        <v>80000.0</v>
      </c>
      <c r="F16" s="10">
        <v>0.0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3" t="s">
        <v>16</v>
      </c>
      <c r="B17" s="9">
        <v>0.0</v>
      </c>
      <c r="C17" s="16">
        <v>-25000.0</v>
      </c>
      <c r="D17" s="16">
        <v>-55000.0</v>
      </c>
      <c r="E17" s="9">
        <v>0.0</v>
      </c>
      <c r="F17" s="10">
        <v>0.0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 t="s">
        <v>17</v>
      </c>
      <c r="B18" s="25">
        <v>0.0</v>
      </c>
      <c r="C18" s="25">
        <v>0.0</v>
      </c>
      <c r="D18" s="25">
        <v>0.0</v>
      </c>
      <c r="E18" s="25">
        <v>0.0</v>
      </c>
      <c r="F18" s="26">
        <v>0.0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7" t="s">
        <v>18</v>
      </c>
      <c r="B19" s="28">
        <f t="shared" ref="B19:F19" si="5">SUM(B12+B15+B16+B17)</f>
        <v>715807</v>
      </c>
      <c r="C19" s="28">
        <f t="shared" si="5"/>
        <v>812087</v>
      </c>
      <c r="D19" s="28">
        <f t="shared" si="5"/>
        <v>1023951</v>
      </c>
      <c r="E19" s="28">
        <f t="shared" si="5"/>
        <v>1311506</v>
      </c>
      <c r="F19" s="29">
        <f t="shared" si="5"/>
        <v>459950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0"/>
      <c r="B20" s="3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1" t="s">
        <v>19</v>
      </c>
      <c r="B21" s="32">
        <f>AVERAGE(D19:F19)</f>
        <v>931802.3333</v>
      </c>
      <c r="C21" s="4"/>
      <c r="D21" s="33" t="s">
        <v>20</v>
      </c>
      <c r="E21" s="34">
        <v>300000.0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/>
      <c r="B22" s="36"/>
      <c r="C22" s="4"/>
      <c r="D22" s="33" t="s">
        <v>21</v>
      </c>
      <c r="E22" s="34">
        <v>250000.0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1" t="s">
        <v>22</v>
      </c>
      <c r="B23" s="37">
        <v>2.5</v>
      </c>
      <c r="C23" s="4"/>
      <c r="D23" s="38" t="s">
        <v>23</v>
      </c>
      <c r="E23" s="34">
        <v>0.0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5"/>
      <c r="B24" s="36"/>
      <c r="C24" s="4"/>
      <c r="D24" s="39" t="s">
        <v>24</v>
      </c>
      <c r="E24" s="40">
        <f>SUM(B25+E21+E22+E23)</f>
        <v>2879505.833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1" t="s">
        <v>25</v>
      </c>
      <c r="B25" s="32">
        <f>SUM(B23*B21)</f>
        <v>2329505.833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2"/>
      <c r="B28" s="43" t="s">
        <v>26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4" t="s">
        <v>27</v>
      </c>
      <c r="B29" s="45">
        <f>AVERAGE(D10,E10,F10)</f>
        <v>767469</v>
      </c>
      <c r="C29" s="46" t="s">
        <v>28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7" t="s">
        <v>29</v>
      </c>
      <c r="B30" s="48">
        <f>SUM(B29/12)</f>
        <v>63955.75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9"/>
      <c r="B32" s="49"/>
      <c r="C32" s="49"/>
      <c r="D32" s="49"/>
      <c r="E32" s="4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0"/>
      <c r="B33" s="51"/>
      <c r="C33" s="52" t="s">
        <v>30</v>
      </c>
      <c r="D33" s="53" t="s">
        <v>31</v>
      </c>
      <c r="E33" s="54" t="s">
        <v>32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5" t="s">
        <v>33</v>
      </c>
      <c r="B34" s="9">
        <f>SUM(B25)</f>
        <v>2329505.833</v>
      </c>
      <c r="C34" s="56"/>
      <c r="D34" s="57"/>
      <c r="E34" s="5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5" t="s">
        <v>34</v>
      </c>
      <c r="B35" s="9">
        <f>SUM(B34/2)</f>
        <v>1164752.917</v>
      </c>
      <c r="C35" s="56"/>
      <c r="D35" s="57"/>
      <c r="E35" s="5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5" t="s">
        <v>35</v>
      </c>
      <c r="B36" s="9">
        <f>SUM(B34/2)</f>
        <v>1164752.917</v>
      </c>
      <c r="C36" s="59">
        <v>60.0</v>
      </c>
      <c r="D36" s="60">
        <v>0.0</v>
      </c>
      <c r="E36" s="61">
        <f>SUM(B36/C36)</f>
        <v>19412.54861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2" t="s">
        <v>36</v>
      </c>
      <c r="B37" s="16">
        <v>1048277.63</v>
      </c>
      <c r="C37" s="63">
        <v>72.0</v>
      </c>
      <c r="D37" s="64">
        <v>0.12</v>
      </c>
      <c r="E37" s="65">
        <v>20494.03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2" t="s">
        <v>37</v>
      </c>
      <c r="B38" s="16">
        <v>116475.29</v>
      </c>
      <c r="C38" s="59">
        <v>0.0</v>
      </c>
      <c r="D38" s="64">
        <v>0.0</v>
      </c>
      <c r="E38" s="66">
        <v>0.0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7" t="s">
        <v>38</v>
      </c>
      <c r="B39" s="68"/>
      <c r="C39" s="68"/>
      <c r="D39" s="69"/>
      <c r="E39" s="70">
        <f>SUM(E36:E38)</f>
        <v>39906.57861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30"/>
      <c r="E41" s="3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71"/>
      <c r="D42" s="72" t="s">
        <v>39</v>
      </c>
      <c r="E42" s="73">
        <f>SUM(B30/E39)</f>
        <v>1.602636764</v>
      </c>
      <c r="F42" s="46" t="s">
        <v>40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71"/>
      <c r="D43" s="74" t="s">
        <v>41</v>
      </c>
      <c r="E43" s="75">
        <f>SUM(B30-E39)</f>
        <v>24049.17139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74" t="s">
        <v>42</v>
      </c>
      <c r="E44" s="75">
        <f>SUM(E43*12)</f>
        <v>288590.0567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</sheetData>
  <drawing r:id="rId2"/>
  <legacyDrawing r:id="rId3"/>
</worksheet>
</file>